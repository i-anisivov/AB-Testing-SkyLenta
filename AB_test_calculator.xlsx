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AD2E95B-3FFC-4910-835E-3BC4F7A69132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Итог" sheetId="4" r:id="rId1"/>
    <sheet name="Positive" sheetId="1" r:id="rId2"/>
    <sheet name="Negative" sheetId="2" r:id="rId3"/>
    <sheet name="No_DIFF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5" i="3" l="1"/>
  <c r="N6" i="2"/>
  <c r="N20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O3" i="2"/>
  <c r="O4" i="2"/>
  <c r="O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2" i="1"/>
  <c r="B8" i="4"/>
  <c r="B7" i="4"/>
  <c r="B6" i="4"/>
  <c r="B5" i="4"/>
</calcChain>
</file>

<file path=xl/sharedStrings.xml><?xml version="1.0" encoding="utf-8"?>
<sst xmlns="http://schemas.openxmlformats.org/spreadsheetml/2006/main" count="162" uniqueCount="50">
  <si>
    <t>city</t>
  </si>
  <si>
    <t>id_trading_point</t>
  </si>
  <si>
    <t>count_test</t>
  </si>
  <si>
    <t>count_control</t>
  </si>
  <si>
    <t>count_all</t>
  </si>
  <si>
    <t>avg_test</t>
  </si>
  <si>
    <t>avg_control</t>
  </si>
  <si>
    <t>diff</t>
  </si>
  <si>
    <t>sigma_test</t>
  </si>
  <si>
    <t>sigma_control</t>
  </si>
  <si>
    <t>t_test_s</t>
  </si>
  <si>
    <t>t_test_p</t>
  </si>
  <si>
    <t>label</t>
  </si>
  <si>
    <t>percent_count</t>
  </si>
  <si>
    <t>Казань</t>
  </si>
  <si>
    <t>Позитив</t>
  </si>
  <si>
    <t>Санкт-Петербург</t>
  </si>
  <si>
    <t>Москва</t>
  </si>
  <si>
    <t>Владимир</t>
  </si>
  <si>
    <t>Самара</t>
  </si>
  <si>
    <t>Негатив</t>
  </si>
  <si>
    <t>Волгоград</t>
  </si>
  <si>
    <t>Краснодар</t>
  </si>
  <si>
    <t>Красноярск</t>
  </si>
  <si>
    <t>Нет разницы</t>
  </si>
  <si>
    <t>Мурманск</t>
  </si>
  <si>
    <t>Саратов</t>
  </si>
  <si>
    <t>Тольятти</t>
  </si>
  <si>
    <t>Тюмень</t>
  </si>
  <si>
    <t>Сочи</t>
  </si>
  <si>
    <t>Сахалинск</t>
  </si>
  <si>
    <t>Дмитров</t>
  </si>
  <si>
    <t xml:space="preserve">Вводные данные </t>
  </si>
  <si>
    <t>N</t>
  </si>
  <si>
    <t>MDE</t>
  </si>
  <si>
    <t xml:space="preserve">Итоговые результаты </t>
  </si>
  <si>
    <t>Положительный исход</t>
  </si>
  <si>
    <t>Отрицательный исход</t>
  </si>
  <si>
    <t>Баланс</t>
  </si>
  <si>
    <t>Количество наблюдений</t>
  </si>
  <si>
    <t>benefit</t>
  </si>
  <si>
    <t>lose</t>
  </si>
  <si>
    <t>cnt_view</t>
  </si>
  <si>
    <t>Выводы</t>
  </si>
  <si>
    <t>позитивные изменения коснулись 36 % точек когда отрицательных  всего  7 %</t>
  </si>
  <si>
    <t xml:space="preserve">к сожаления 56 % точек не показала изменений в таблице рядом с ними было расчитанно дополнительное количество наблюдений для того что бы можно было заметить разницу </t>
  </si>
  <si>
    <t>когда регионы не дали особых  изменений</t>
  </si>
  <si>
    <t xml:space="preserve"> необходимо продолжить тестирование регионов так 57 % полученных  данных  не дали четкой картины от изменений </t>
  </si>
  <si>
    <t xml:space="preserve">Петербуг и Москва оказался лидером по увеличении среднего чека  в тестовой группе </t>
  </si>
  <si>
    <t xml:space="preserve">я бы внедрил пуш уведомление в центральные регионы МСК и СПБ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</si>
</sst>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₽-419]_-;\-* #,##0.00\ [$₽-419]_-;_-* &quot;-&quot;??\ [$₽-419]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3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3" fillId="2" borderId="0" xfId="0" applyFont="1" applyFill="1"/>
    <xf numFmtId="1" fontId="0" fillId="0" borderId="1" xfId="0" applyNumberFormat="1" applyBorder="1"/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0" fontId="1" fillId="4" borderId="2" xfId="0" applyFont="1" applyFill="1" applyBorder="1" applyAlignment="1">
      <alignment horizontal="center" vertical="top"/>
    </xf>
    <xf numFmtId="1" fontId="0" fillId="4" borderId="0" xfId="0" applyNumberFormat="1" applyFill="1"/>
    <xf numFmtId="9" fontId="0" fillId="0" borderId="0" xfId="1" applyFont="1"/>
    <xf numFmtId="0" fontId="0" fillId="3" borderId="0" xfId="0" applyFill="1"/>
    <xf numFmtId="0" fontId="3" fillId="3" borderId="0" xfId="0" applyFont="1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15912-D60C-46CC-900F-8E4BA3CE037D}">
  <dimension ref="A1:K20"/>
  <sheetViews>
    <sheetView topLeftCell="A4" zoomScale="145" zoomScaleNormal="145" workbookViewId="0">
      <selection activeCell="B6" sqref="B6"/>
    </sheetView>
  </sheetViews>
  <sheetFormatPr defaultRowHeight="15" x14ac:dyDescent="0.25"/>
  <cols>
    <col min="1" max="1" width="24.140625" bestFit="1" customWidth="1"/>
    <col min="2" max="2" width="11.85546875" customWidth="1"/>
  </cols>
  <sheetData>
    <row r="1" spans="1:6" x14ac:dyDescent="0.25">
      <c r="A1" s="6" t="s">
        <v>32</v>
      </c>
    </row>
    <row r="2" spans="1:6" x14ac:dyDescent="0.25">
      <c r="A2" s="5" t="s">
        <v>33</v>
      </c>
      <c r="B2" s="4">
        <v>10000</v>
      </c>
    </row>
    <row r="3" spans="1:6" x14ac:dyDescent="0.25">
      <c r="A3" s="5" t="s">
        <v>34</v>
      </c>
      <c r="B3" s="4">
        <v>800</v>
      </c>
    </row>
    <row r="4" spans="1:6" x14ac:dyDescent="0.25">
      <c r="A4" s="3" t="s">
        <v>35</v>
      </c>
      <c r="B4" s="4"/>
    </row>
    <row r="5" spans="1:6" x14ac:dyDescent="0.25">
      <c r="A5" s="5" t="s">
        <v>36</v>
      </c>
      <c r="B5" s="7">
        <f>SUM(Positive!H2:H18)</f>
        <v>16611.27237675116</v>
      </c>
    </row>
    <row r="6" spans="1:6" x14ac:dyDescent="0.25">
      <c r="A6" s="5" t="s">
        <v>37</v>
      </c>
      <c r="B6" s="7">
        <f>SUM(Negative!H2:H4)</f>
        <v>-1213.3745216458176</v>
      </c>
    </row>
    <row r="7" spans="1:6" x14ac:dyDescent="0.25">
      <c r="A7" s="5" t="s">
        <v>38</v>
      </c>
      <c r="B7" s="7">
        <f>SUM(B5:B6)</f>
        <v>15397.897855105342</v>
      </c>
    </row>
    <row r="8" spans="1:6" x14ac:dyDescent="0.25">
      <c r="A8" s="5" t="s">
        <v>39</v>
      </c>
      <c r="B8" s="4">
        <f>SUM(No_DIFF!E2:E32)</f>
        <v>25825</v>
      </c>
    </row>
    <row r="11" spans="1:6" x14ac:dyDescent="0.25">
      <c r="A11" s="13" t="s">
        <v>43</v>
      </c>
    </row>
    <row r="12" spans="1:6" x14ac:dyDescent="0.25">
      <c r="A12" s="14" t="s">
        <v>44</v>
      </c>
    </row>
    <row r="13" spans="1:6" x14ac:dyDescent="0.25">
      <c r="A13" s="14" t="s">
        <v>45</v>
      </c>
    </row>
    <row r="16" spans="1:6" x14ac:dyDescent="0.25">
      <c r="A16" s="2" t="s">
        <v>48</v>
      </c>
      <c r="B16" s="2"/>
      <c r="C16" s="2"/>
      <c r="D16" s="2"/>
      <c r="E16" s="2"/>
      <c r="F16" s="2"/>
    </row>
    <row r="17" spans="1:11" x14ac:dyDescent="0.25">
      <c r="A17" s="2" t="s">
        <v>46</v>
      </c>
      <c r="B17" s="2"/>
      <c r="C17" s="2"/>
      <c r="D17" s="2"/>
      <c r="E17" s="2"/>
      <c r="F17" s="2"/>
    </row>
    <row r="19" spans="1:11" x14ac:dyDescent="0.25">
      <c r="A19" s="2" t="s">
        <v>49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 t="s">
        <v>47</v>
      </c>
      <c r="B20" s="2"/>
      <c r="C20" s="2"/>
      <c r="D20" s="2"/>
      <c r="E20" s="2"/>
      <c r="F20" s="2"/>
      <c r="G20" s="2"/>
      <c r="H20" s="2"/>
      <c r="I20" s="2"/>
      <c r="J20" s="2"/>
      <c r="K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>
      <selection activeCell="N20" sqref="N20"/>
    </sheetView>
  </sheetViews>
  <sheetFormatPr defaultRowHeight="15" x14ac:dyDescent="0.25"/>
  <cols>
    <col min="1" max="1" width="16.5703125" bestFit="1" customWidth="1"/>
    <col min="9" max="9" width="12" bestFit="1" customWidth="1"/>
    <col min="10" max="10" width="13.5703125" bestFit="1" customWidth="1"/>
    <col min="14" max="14" width="14" bestFit="1" customWidth="1"/>
    <col min="15" max="15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8" t="s">
        <v>40</v>
      </c>
    </row>
    <row r="2" spans="1:15" x14ac:dyDescent="0.25">
      <c r="A2" t="s">
        <v>14</v>
      </c>
      <c r="B2">
        <v>991</v>
      </c>
      <c r="C2">
        <v>270</v>
      </c>
      <c r="D2">
        <v>294</v>
      </c>
      <c r="E2">
        <v>564</v>
      </c>
      <c r="F2">
        <v>3249.281481481481</v>
      </c>
      <c r="G2">
        <v>2452.9863945578231</v>
      </c>
      <c r="H2">
        <v>796.29508692365835</v>
      </c>
      <c r="I2">
        <v>4719.5926012697964</v>
      </c>
      <c r="J2">
        <v>3633.9358583139442</v>
      </c>
      <c r="K2">
        <v>-2.2552583978062271</v>
      </c>
      <c r="L2">
        <v>2.4501004890271769E-2</v>
      </c>
      <c r="M2" t="s">
        <v>15</v>
      </c>
      <c r="N2">
        <v>1.244538593936184E-2</v>
      </c>
      <c r="O2" s="9">
        <f>Итог!$B$2*Positive!N2*Positive!H2</f>
        <v>99101.996783826122</v>
      </c>
    </row>
    <row r="3" spans="1:15" x14ac:dyDescent="0.25">
      <c r="A3" t="s">
        <v>16</v>
      </c>
      <c r="B3">
        <v>453</v>
      </c>
      <c r="C3">
        <v>1066</v>
      </c>
      <c r="D3">
        <v>1049</v>
      </c>
      <c r="E3">
        <v>2115</v>
      </c>
      <c r="F3">
        <v>2501.9662288930581</v>
      </c>
      <c r="G3">
        <v>1889.9237368922779</v>
      </c>
      <c r="H3">
        <v>612.0424920007797</v>
      </c>
      <c r="I3">
        <v>2993.4425401386729</v>
      </c>
      <c r="J3">
        <v>2648.6593032825899</v>
      </c>
      <c r="K3">
        <v>-4.976910182958596</v>
      </c>
      <c r="L3">
        <v>6.9832069012744641E-7</v>
      </c>
      <c r="M3" t="s">
        <v>15</v>
      </c>
      <c r="N3">
        <v>4.6670197272606913E-2</v>
      </c>
      <c r="O3" s="9">
        <f>Итог!$B$2*Positive!N3*Positive!H3</f>
        <v>285641.4384089433</v>
      </c>
    </row>
    <row r="4" spans="1:15" x14ac:dyDescent="0.25">
      <c r="A4" t="s">
        <v>16</v>
      </c>
      <c r="B4">
        <v>801</v>
      </c>
      <c r="C4">
        <v>225</v>
      </c>
      <c r="D4">
        <v>212</v>
      </c>
      <c r="E4">
        <v>437</v>
      </c>
      <c r="F4">
        <v>2925.1422222222218</v>
      </c>
      <c r="G4">
        <v>2352.283018867925</v>
      </c>
      <c r="H4">
        <v>572.85920335429773</v>
      </c>
      <c r="I4">
        <v>2774.2920633734352</v>
      </c>
      <c r="J4">
        <v>2928.2858378165042</v>
      </c>
      <c r="K4">
        <v>-2.0999906224732121</v>
      </c>
      <c r="L4">
        <v>3.6305006065519063E-2</v>
      </c>
      <c r="M4" t="s">
        <v>15</v>
      </c>
      <c r="N4">
        <v>9.6429674742927757E-3</v>
      </c>
      <c r="O4" s="9">
        <f>Итог!$B$2*Positive!N4*Positive!H4</f>
        <v>55240.626652947642</v>
      </c>
    </row>
    <row r="5" spans="1:15" x14ac:dyDescent="0.25">
      <c r="A5" t="s">
        <v>16</v>
      </c>
      <c r="B5">
        <v>573</v>
      </c>
      <c r="C5">
        <v>177</v>
      </c>
      <c r="D5">
        <v>160</v>
      </c>
      <c r="E5">
        <v>337</v>
      </c>
      <c r="F5">
        <v>2929.0451977401131</v>
      </c>
      <c r="G5">
        <v>1641.2125000000001</v>
      </c>
      <c r="H5">
        <v>1287.832697740113</v>
      </c>
      <c r="I5">
        <v>3201.0981368955968</v>
      </c>
      <c r="J5">
        <v>2619.0447809502271</v>
      </c>
      <c r="K5">
        <v>-4.0165685114334524</v>
      </c>
      <c r="L5">
        <v>7.2940741192307104E-5</v>
      </c>
      <c r="M5" t="s">
        <v>15</v>
      </c>
      <c r="N5">
        <v>7.4363387616399662E-3</v>
      </c>
      <c r="O5" s="9">
        <f>Итог!$B$2*Positive!N5*Positive!H5</f>
        <v>95767.60208712169</v>
      </c>
    </row>
    <row r="6" spans="1:15" x14ac:dyDescent="0.25">
      <c r="A6" t="s">
        <v>16</v>
      </c>
      <c r="B6">
        <v>900</v>
      </c>
      <c r="C6">
        <v>335</v>
      </c>
      <c r="D6">
        <v>341</v>
      </c>
      <c r="E6">
        <v>676</v>
      </c>
      <c r="F6">
        <v>2450.991044776119</v>
      </c>
      <c r="G6">
        <v>1689.7917888563049</v>
      </c>
      <c r="H6">
        <v>761.1992559198145</v>
      </c>
      <c r="I6">
        <v>2865.6073558468579</v>
      </c>
      <c r="J6">
        <v>2492.4726113410602</v>
      </c>
      <c r="K6">
        <v>-3.686913572889702</v>
      </c>
      <c r="L6">
        <v>2.4525342392273569E-4</v>
      </c>
      <c r="M6" t="s">
        <v>15</v>
      </c>
      <c r="N6">
        <v>1.4916810097532989E-2</v>
      </c>
      <c r="O6" s="9">
        <f>Итог!$B$2*Positive!N6*Positive!H6</f>
        <v>113546.64746939288</v>
      </c>
    </row>
    <row r="7" spans="1:15" x14ac:dyDescent="0.25">
      <c r="A7" t="s">
        <v>16</v>
      </c>
      <c r="B7">
        <v>117</v>
      </c>
      <c r="C7">
        <v>625</v>
      </c>
      <c r="D7">
        <v>587</v>
      </c>
      <c r="E7">
        <v>1212</v>
      </c>
      <c r="F7">
        <v>2582.2975999999999</v>
      </c>
      <c r="G7">
        <v>2050.6916524701869</v>
      </c>
      <c r="H7">
        <v>531.60594752981251</v>
      </c>
      <c r="I7">
        <v>2835.004503186402</v>
      </c>
      <c r="J7">
        <v>2595.7377919626342</v>
      </c>
      <c r="K7">
        <v>-3.3981956005701761</v>
      </c>
      <c r="L7">
        <v>7.0038166313428352E-4</v>
      </c>
      <c r="M7" t="s">
        <v>15</v>
      </c>
      <c r="N7">
        <v>2.6744339997352051E-2</v>
      </c>
      <c r="O7" s="9">
        <f>Итог!$B$2*Positive!N7*Positive!H7</f>
        <v>142174.50205351799</v>
      </c>
    </row>
    <row r="8" spans="1:15" x14ac:dyDescent="0.25">
      <c r="A8" t="s">
        <v>16</v>
      </c>
      <c r="B8">
        <v>213</v>
      </c>
      <c r="C8">
        <v>232</v>
      </c>
      <c r="D8">
        <v>255</v>
      </c>
      <c r="E8">
        <v>487</v>
      </c>
      <c r="F8">
        <v>2977.629310344827</v>
      </c>
      <c r="G8">
        <v>2277.6117647058818</v>
      </c>
      <c r="H8">
        <v>700.01754563894519</v>
      </c>
      <c r="I8">
        <v>2905.494362359007</v>
      </c>
      <c r="J8">
        <v>2710.043413201317</v>
      </c>
      <c r="K8">
        <v>-2.7507518943584151</v>
      </c>
      <c r="L8">
        <v>6.1682152950104643E-3</v>
      </c>
      <c r="M8" t="s">
        <v>15</v>
      </c>
      <c r="N8">
        <v>1.0746281830619179E-2</v>
      </c>
      <c r="O8" s="9">
        <f>Итог!$B$2*Positive!N8*Positive!H8</f>
        <v>75225.858318144281</v>
      </c>
    </row>
    <row r="9" spans="1:15" x14ac:dyDescent="0.25">
      <c r="A9" t="s">
        <v>16</v>
      </c>
      <c r="B9">
        <v>891</v>
      </c>
      <c r="C9">
        <v>159</v>
      </c>
      <c r="D9">
        <v>167</v>
      </c>
      <c r="E9">
        <v>326</v>
      </c>
      <c r="F9">
        <v>2618.949685534591</v>
      </c>
      <c r="G9">
        <v>1980.65868263473</v>
      </c>
      <c r="H9">
        <v>638.29100289986059</v>
      </c>
      <c r="I9">
        <v>2899.78246412116</v>
      </c>
      <c r="J9">
        <v>2489.571942139818</v>
      </c>
      <c r="K9">
        <v>-2.135593480676524</v>
      </c>
      <c r="L9">
        <v>3.3462036844691949E-2</v>
      </c>
      <c r="M9" t="s">
        <v>15</v>
      </c>
      <c r="N9">
        <v>7.1936096032481573E-3</v>
      </c>
      <c r="O9" s="9">
        <f>Итог!$B$2*Positive!N9*Positive!H9</f>
        <v>45916.162881273347</v>
      </c>
    </row>
    <row r="10" spans="1:15" x14ac:dyDescent="0.25">
      <c r="A10" t="s">
        <v>17</v>
      </c>
      <c r="B10">
        <v>2652</v>
      </c>
      <c r="C10">
        <v>2273</v>
      </c>
      <c r="D10">
        <v>2370</v>
      </c>
      <c r="E10">
        <v>4643</v>
      </c>
      <c r="F10">
        <v>2508.8895732512101</v>
      </c>
      <c r="G10">
        <v>1972.847679324894</v>
      </c>
      <c r="H10">
        <v>536.0418939263152</v>
      </c>
      <c r="I10">
        <v>2846.6364983182448</v>
      </c>
      <c r="J10">
        <v>2565.8782422552181</v>
      </c>
      <c r="K10">
        <v>-6.7451370750144903</v>
      </c>
      <c r="L10">
        <v>1.716200952795291E-11</v>
      </c>
      <c r="M10" t="s">
        <v>15</v>
      </c>
      <c r="N10">
        <v>0.1024537711284699</v>
      </c>
      <c r="O10" s="9">
        <f>Итог!$B$2*Positive!N10*Positive!H10</f>
        <v>549195.13515598245</v>
      </c>
    </row>
    <row r="11" spans="1:15" x14ac:dyDescent="0.25">
      <c r="A11" t="s">
        <v>17</v>
      </c>
      <c r="B11">
        <v>1287</v>
      </c>
      <c r="C11">
        <v>370</v>
      </c>
      <c r="D11">
        <v>357</v>
      </c>
      <c r="E11">
        <v>727</v>
      </c>
      <c r="F11">
        <v>2143.4891891891889</v>
      </c>
      <c r="G11">
        <v>1394.6554621848741</v>
      </c>
      <c r="H11">
        <v>748.83372700431551</v>
      </c>
      <c r="I11">
        <v>2441.221897644979</v>
      </c>
      <c r="J11">
        <v>2338.4617787149841</v>
      </c>
      <c r="K11">
        <v>-4.2210099215845469</v>
      </c>
      <c r="L11">
        <v>2.7411050206084379E-5</v>
      </c>
      <c r="M11" t="s">
        <v>15</v>
      </c>
      <c r="N11">
        <v>1.604219074098592E-2</v>
      </c>
      <c r="O11" s="9">
        <f>Итог!$B$2*Positive!N11*Positive!H11</f>
        <v>120129.33481886607</v>
      </c>
    </row>
    <row r="12" spans="1:15" x14ac:dyDescent="0.25">
      <c r="A12" t="s">
        <v>17</v>
      </c>
      <c r="B12">
        <v>1654</v>
      </c>
      <c r="C12">
        <v>799</v>
      </c>
      <c r="D12">
        <v>775</v>
      </c>
      <c r="E12">
        <v>1574</v>
      </c>
      <c r="F12">
        <v>3176.4330413016269</v>
      </c>
      <c r="G12">
        <v>2507.8864516129029</v>
      </c>
      <c r="H12">
        <v>668.54658968872354</v>
      </c>
      <c r="I12">
        <v>3208.0517628292828</v>
      </c>
      <c r="J12">
        <v>2950.5128884516971</v>
      </c>
      <c r="K12">
        <v>-4.2997977681534039</v>
      </c>
      <c r="L12">
        <v>1.8146600593509569E-5</v>
      </c>
      <c r="M12" t="s">
        <v>15</v>
      </c>
      <c r="N12">
        <v>3.4732335937155218E-2</v>
      </c>
      <c r="O12" s="9">
        <f>Итог!$B$2*Positive!N12*Positive!H12</f>
        <v>232201.84742708216</v>
      </c>
    </row>
    <row r="13" spans="1:15" x14ac:dyDescent="0.25">
      <c r="A13" t="s">
        <v>17</v>
      </c>
      <c r="B13">
        <v>1002</v>
      </c>
      <c r="C13">
        <v>138</v>
      </c>
      <c r="D13">
        <v>188</v>
      </c>
      <c r="E13">
        <v>326</v>
      </c>
      <c r="F13">
        <v>4144.855072463768</v>
      </c>
      <c r="G13">
        <v>1844.7872340425531</v>
      </c>
      <c r="H13">
        <v>2300.0678384212151</v>
      </c>
      <c r="I13">
        <v>4069.769784107084</v>
      </c>
      <c r="J13">
        <v>2436.536120119913</v>
      </c>
      <c r="K13">
        <v>-6.3534483983808014</v>
      </c>
      <c r="L13">
        <v>7.1299585030233683E-10</v>
      </c>
      <c r="M13" t="s">
        <v>15</v>
      </c>
      <c r="N13">
        <v>7.1936096032481573E-3</v>
      </c>
      <c r="O13" s="9">
        <f>Итог!$B$2*Positive!N13*Positive!H13</f>
        <v>165457.90090589083</v>
      </c>
    </row>
    <row r="14" spans="1:15" x14ac:dyDescent="0.25">
      <c r="A14" t="s">
        <v>18</v>
      </c>
      <c r="B14">
        <v>11</v>
      </c>
      <c r="C14">
        <v>509</v>
      </c>
      <c r="D14">
        <v>608</v>
      </c>
      <c r="E14">
        <v>1117</v>
      </c>
      <c r="F14">
        <v>2547.2200392927311</v>
      </c>
      <c r="G14">
        <v>2108.6101973684208</v>
      </c>
      <c r="H14">
        <v>438.60984192430942</v>
      </c>
      <c r="I14">
        <v>3023.7021636269142</v>
      </c>
      <c r="J14">
        <v>2663.038391974123</v>
      </c>
      <c r="K14">
        <v>-2.576955493292318</v>
      </c>
      <c r="L14">
        <v>1.009511217035171E-2</v>
      </c>
      <c r="M14" t="s">
        <v>15</v>
      </c>
      <c r="N14">
        <v>2.4648042720331879E-2</v>
      </c>
      <c r="O14" s="9">
        <f>Итог!$B$2*Positive!N14*Positive!H14</f>
        <v>108108.74121308391</v>
      </c>
    </row>
    <row r="15" spans="1:15" x14ac:dyDescent="0.25">
      <c r="A15" t="s">
        <v>19</v>
      </c>
      <c r="B15">
        <v>33</v>
      </c>
      <c r="C15">
        <v>232</v>
      </c>
      <c r="D15">
        <v>258</v>
      </c>
      <c r="E15">
        <v>490</v>
      </c>
      <c r="F15">
        <v>4598.2198275862074</v>
      </c>
      <c r="G15">
        <v>2311.3875968992252</v>
      </c>
      <c r="H15">
        <v>2286.8322306869818</v>
      </c>
      <c r="I15">
        <v>2931.2349256860789</v>
      </c>
      <c r="J15">
        <v>2371.771295626133</v>
      </c>
      <c r="K15">
        <v>-9.5328379164110402</v>
      </c>
      <c r="L15">
        <v>7.2225189745714525E-20</v>
      </c>
      <c r="M15" t="s">
        <v>15</v>
      </c>
      <c r="N15">
        <v>1.081248069199876E-2</v>
      </c>
      <c r="O15" s="9">
        <f>Итог!$B$2*Positive!N15*Positive!H15</f>
        <v>247263.29340143444</v>
      </c>
    </row>
    <row r="16" spans="1:15" x14ac:dyDescent="0.25">
      <c r="A16" t="s">
        <v>19</v>
      </c>
      <c r="B16">
        <v>34</v>
      </c>
      <c r="C16">
        <v>225</v>
      </c>
      <c r="D16">
        <v>253</v>
      </c>
      <c r="E16">
        <v>478</v>
      </c>
      <c r="F16">
        <v>3104.5066666666671</v>
      </c>
      <c r="G16">
        <v>1752.608695652174</v>
      </c>
      <c r="H16">
        <v>1351.8979710144929</v>
      </c>
      <c r="I16">
        <v>2956.8269145922532</v>
      </c>
      <c r="J16">
        <v>2529.7007981220449</v>
      </c>
      <c r="K16">
        <v>-5.3862649969282721</v>
      </c>
      <c r="L16">
        <v>1.1327785130388309E-7</v>
      </c>
      <c r="M16" t="s">
        <v>15</v>
      </c>
      <c r="N16">
        <v>1.0547685246480429E-2</v>
      </c>
      <c r="O16" s="9">
        <f>Итог!$B$2*Positive!N16*Positive!H16</f>
        <v>142593.94283616394</v>
      </c>
    </row>
    <row r="17" spans="1:15" x14ac:dyDescent="0.25">
      <c r="A17" t="s">
        <v>19</v>
      </c>
      <c r="B17">
        <v>35</v>
      </c>
      <c r="C17">
        <v>214</v>
      </c>
      <c r="D17">
        <v>194</v>
      </c>
      <c r="E17">
        <v>408</v>
      </c>
      <c r="F17">
        <v>2762.2242990654199</v>
      </c>
      <c r="G17">
        <v>1508.8350515463919</v>
      </c>
      <c r="H17">
        <v>1253.3892475190289</v>
      </c>
      <c r="I17">
        <v>2977.0835472163549</v>
      </c>
      <c r="J17">
        <v>2184.8080940632271</v>
      </c>
      <c r="K17">
        <v>-4.8066661954145689</v>
      </c>
      <c r="L17">
        <v>2.1646756758588111E-6</v>
      </c>
      <c r="M17" t="s">
        <v>15</v>
      </c>
      <c r="N17">
        <v>9.0030451476234615E-3</v>
      </c>
      <c r="O17" s="9">
        <f>Итог!$B$2*Positive!N17*Positive!H17</f>
        <v>112843.19982959615</v>
      </c>
    </row>
    <row r="18" spans="1:15" x14ac:dyDescent="0.25">
      <c r="A18" t="s">
        <v>19</v>
      </c>
      <c r="B18">
        <v>36</v>
      </c>
      <c r="C18">
        <v>131</v>
      </c>
      <c r="D18">
        <v>141</v>
      </c>
      <c r="E18">
        <v>272</v>
      </c>
      <c r="F18">
        <v>1987.3282442748091</v>
      </c>
      <c r="G18">
        <v>860.41843971631204</v>
      </c>
      <c r="H18">
        <v>1126.9098045584969</v>
      </c>
      <c r="I18">
        <v>2718.5026632115769</v>
      </c>
      <c r="J18">
        <v>1840.8266394516061</v>
      </c>
      <c r="K18">
        <v>-4.0279507279668918</v>
      </c>
      <c r="L18">
        <v>7.3187580909933793E-5</v>
      </c>
      <c r="M18" t="s">
        <v>15</v>
      </c>
      <c r="N18">
        <v>6.0020300984156404E-3</v>
      </c>
      <c r="O18" s="9">
        <f>Итог!$B$2*Positive!N18*Positive!H18</f>
        <v>67637.465651597857</v>
      </c>
    </row>
    <row r="20" spans="1:15" x14ac:dyDescent="0.25">
      <c r="N20" s="12">
        <f>SUM(N2:N18)</f>
        <v>0.35723112229136328</v>
      </c>
    </row>
  </sheetData>
  <conditionalFormatting sqref="O2:O18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workbookViewId="0">
      <selection activeCell="N6" sqref="N6"/>
    </sheetView>
  </sheetViews>
  <sheetFormatPr defaultRowHeight="15" x14ac:dyDescent="0.25"/>
  <cols>
    <col min="15" max="15" width="13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8" t="s">
        <v>41</v>
      </c>
    </row>
    <row r="2" spans="1:15" x14ac:dyDescent="0.25">
      <c r="A2" t="s">
        <v>17</v>
      </c>
      <c r="B2">
        <v>9931</v>
      </c>
      <c r="C2">
        <v>153</v>
      </c>
      <c r="D2">
        <v>137</v>
      </c>
      <c r="E2">
        <v>290</v>
      </c>
      <c r="F2">
        <v>1415.7843137254899</v>
      </c>
      <c r="G2">
        <v>1968.693430656934</v>
      </c>
      <c r="H2">
        <v>-552.90911693144403</v>
      </c>
      <c r="I2">
        <v>2038.1642473623181</v>
      </c>
      <c r="J2">
        <v>2403.3978568404682</v>
      </c>
      <c r="K2">
        <v>2.1191969117156</v>
      </c>
      <c r="L2">
        <v>3.4929468998951822E-2</v>
      </c>
      <c r="M2" t="s">
        <v>20</v>
      </c>
      <c r="N2">
        <v>6.3992232666931466E-3</v>
      </c>
      <c r="O2" s="9">
        <f>Итог!$B$2*N2*H2</f>
        <v>-35381.888854344579</v>
      </c>
    </row>
    <row r="3" spans="1:15" x14ac:dyDescent="0.25">
      <c r="A3" t="s">
        <v>21</v>
      </c>
      <c r="B3">
        <v>66</v>
      </c>
      <c r="C3">
        <v>657</v>
      </c>
      <c r="D3">
        <v>703</v>
      </c>
      <c r="E3">
        <v>1360</v>
      </c>
      <c r="F3">
        <v>2288.8706240487058</v>
      </c>
      <c r="G3">
        <v>2601.7610241820771</v>
      </c>
      <c r="H3">
        <v>-312.89040013337029</v>
      </c>
      <c r="I3">
        <v>2682.5676104733539</v>
      </c>
      <c r="J3">
        <v>2830.193773341512</v>
      </c>
      <c r="K3">
        <v>2.0892718943323438</v>
      </c>
      <c r="L3">
        <v>3.6868999280986539E-2</v>
      </c>
      <c r="M3" t="s">
        <v>20</v>
      </c>
      <c r="N3">
        <v>3.00101504920782E-2</v>
      </c>
      <c r="O3" s="9">
        <f>Итог!$B$2*N3*H3</f>
        <v>-93898.879955290075</v>
      </c>
    </row>
    <row r="4" spans="1:15" x14ac:dyDescent="0.25">
      <c r="A4" t="s">
        <v>22</v>
      </c>
      <c r="B4">
        <v>1101</v>
      </c>
      <c r="C4">
        <v>785</v>
      </c>
      <c r="D4">
        <v>869</v>
      </c>
      <c r="E4">
        <v>1654</v>
      </c>
      <c r="F4">
        <v>2176.0038216560511</v>
      </c>
      <c r="G4">
        <v>2523.5788262370538</v>
      </c>
      <c r="H4">
        <v>-347.57500458100321</v>
      </c>
      <c r="I4">
        <v>2722.6244937401721</v>
      </c>
      <c r="J4">
        <v>2960.3523376384169</v>
      </c>
      <c r="K4">
        <v>2.476736308530425</v>
      </c>
      <c r="L4">
        <v>1.33584476189182E-2</v>
      </c>
      <c r="M4" t="s">
        <v>20</v>
      </c>
      <c r="N4">
        <v>3.649763890727746E-2</v>
      </c>
      <c r="O4" s="9">
        <f>Итог!$B$2*N4*H4</f>
        <v>-126856.67010392765</v>
      </c>
    </row>
    <row r="6" spans="1:15" x14ac:dyDescent="0.25">
      <c r="N6" s="12">
        <f>SUM(N2:N4)</f>
        <v>7.2907012666048807E-2</v>
      </c>
    </row>
  </sheetData>
  <conditionalFormatting sqref="O2:O4">
    <cfRule type="colorScale" priority="1">
      <colorScale>
        <cfvo type="min"/>
        <cfvo type="max"/>
        <color rgb="FFF8696B"/>
        <color rgb="FFFCFCFF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5"/>
  <sheetViews>
    <sheetView tabSelected="1" workbookViewId="0">
      <selection activeCell="A24" sqref="A24"/>
    </sheetView>
  </sheetViews>
  <sheetFormatPr defaultRowHeight="15" x14ac:dyDescent="0.25"/>
  <cols>
    <col min="1" max="1" width="11.42578125" customWidth="1"/>
    <col min="2" max="2" width="15.85546875" bestFit="1" customWidth="1"/>
    <col min="3" max="3" width="10.42578125" bestFit="1" customWidth="1"/>
    <col min="4" max="4" width="13.42578125" bestFit="1" customWidth="1"/>
    <col min="15" max="15" width="10.4257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0" t="s">
        <v>42</v>
      </c>
    </row>
    <row r="2" spans="1:15" x14ac:dyDescent="0.25">
      <c r="A2" t="s">
        <v>23</v>
      </c>
      <c r="B2">
        <v>212</v>
      </c>
      <c r="C2">
        <v>593</v>
      </c>
      <c r="D2">
        <v>575</v>
      </c>
      <c r="E2">
        <v>1168</v>
      </c>
      <c r="F2">
        <v>2144.317032040472</v>
      </c>
      <c r="G2">
        <v>2222.052173913044</v>
      </c>
      <c r="H2">
        <v>-77.735141872571603</v>
      </c>
      <c r="I2">
        <v>2708.5887239801191</v>
      </c>
      <c r="J2">
        <v>2785.1162501572312</v>
      </c>
      <c r="K2">
        <v>0.48358538550993968</v>
      </c>
      <c r="L2">
        <v>0.62877094764054164</v>
      </c>
      <c r="M2" t="s">
        <v>24</v>
      </c>
      <c r="N2">
        <v>2.5773423363784811E-2</v>
      </c>
      <c r="O2" s="11">
        <f>(2*POWER(J2,2)*7.85)/POWER(Итог!$B$3,2)</f>
        <v>190.28577917526727</v>
      </c>
    </row>
    <row r="3" spans="1:15" x14ac:dyDescent="0.25">
      <c r="A3" t="s">
        <v>23</v>
      </c>
      <c r="B3">
        <v>278</v>
      </c>
      <c r="C3">
        <v>535</v>
      </c>
      <c r="D3">
        <v>489</v>
      </c>
      <c r="E3">
        <v>1024</v>
      </c>
      <c r="F3">
        <v>2499.3457943925232</v>
      </c>
      <c r="G3">
        <v>2185.21472392638</v>
      </c>
      <c r="H3">
        <v>314.13107046614277</v>
      </c>
      <c r="I3">
        <v>2915.9953289536438</v>
      </c>
      <c r="J3">
        <v>2574.9155972376111</v>
      </c>
      <c r="K3">
        <v>-1.8202681201948649</v>
      </c>
      <c r="L3">
        <v>6.9010560745835017E-2</v>
      </c>
      <c r="M3" t="s">
        <v>24</v>
      </c>
      <c r="N3">
        <v>2.2595878017564769E-2</v>
      </c>
      <c r="O3" s="11">
        <f>(2*POWER(J3,2)*7.85)/POWER(Итог!$B$3,2)</f>
        <v>162.64685660389236</v>
      </c>
    </row>
    <row r="4" spans="1:15" x14ac:dyDescent="0.25">
      <c r="A4" t="s">
        <v>23</v>
      </c>
      <c r="B4">
        <v>202</v>
      </c>
      <c r="C4">
        <v>551</v>
      </c>
      <c r="D4">
        <v>565</v>
      </c>
      <c r="E4">
        <v>1116</v>
      </c>
      <c r="F4">
        <v>2927.341197822142</v>
      </c>
      <c r="G4">
        <v>2730.378761061947</v>
      </c>
      <c r="H4">
        <v>196.96243676019461</v>
      </c>
      <c r="I4">
        <v>2956.686241494881</v>
      </c>
      <c r="J4">
        <v>2737.8857851630301</v>
      </c>
      <c r="K4">
        <v>-1.155072918440385</v>
      </c>
      <c r="L4">
        <v>0.24830826390447139</v>
      </c>
      <c r="M4" t="s">
        <v>24</v>
      </c>
      <c r="N4">
        <v>2.4625976433205351E-2</v>
      </c>
      <c r="O4" s="11">
        <f>(2*POWER(J4,2)*7.85)/POWER(Итог!$B$3,2)</f>
        <v>183.8867056090393</v>
      </c>
    </row>
    <row r="5" spans="1:15" x14ac:dyDescent="0.25">
      <c r="A5" t="s">
        <v>23</v>
      </c>
      <c r="B5">
        <v>444</v>
      </c>
      <c r="C5">
        <v>650</v>
      </c>
      <c r="D5">
        <v>562</v>
      </c>
      <c r="E5">
        <v>1212</v>
      </c>
      <c r="F5">
        <v>2404.106153846154</v>
      </c>
      <c r="G5">
        <v>2545.7348754448399</v>
      </c>
      <c r="H5">
        <v>-141.62872159868579</v>
      </c>
      <c r="I5">
        <v>2810.8284873546108</v>
      </c>
      <c r="J5">
        <v>2797.138763933518</v>
      </c>
      <c r="K5">
        <v>0.87674037193140575</v>
      </c>
      <c r="L5">
        <v>0.38080170010284242</v>
      </c>
      <c r="M5" t="s">
        <v>24</v>
      </c>
      <c r="N5">
        <v>2.6744339997352051E-2</v>
      </c>
      <c r="O5" s="11">
        <f>(2*POWER(J5,2)*7.85)/POWER(Итог!$B$3,2)</f>
        <v>191.9321385246603</v>
      </c>
    </row>
    <row r="6" spans="1:15" x14ac:dyDescent="0.25">
      <c r="A6" t="s">
        <v>23</v>
      </c>
      <c r="B6">
        <v>277</v>
      </c>
      <c r="C6">
        <v>708</v>
      </c>
      <c r="D6">
        <v>709</v>
      </c>
      <c r="E6">
        <v>1417</v>
      </c>
      <c r="F6">
        <v>2285.75</v>
      </c>
      <c r="G6">
        <v>2431.3653032440061</v>
      </c>
      <c r="H6">
        <v>-145.61530324400559</v>
      </c>
      <c r="I6">
        <v>2712.677878262808</v>
      </c>
      <c r="J6">
        <v>2868.5875686413842</v>
      </c>
      <c r="K6">
        <v>0.98170546685316118</v>
      </c>
      <c r="L6">
        <v>0.32641278977933119</v>
      </c>
      <c r="M6" t="s">
        <v>24</v>
      </c>
      <c r="N6">
        <v>3.1267928858290307E-2</v>
      </c>
      <c r="O6" s="11">
        <f>(2*POWER(J6,2)*7.85)/POWER(Итог!$B$3,2)</f>
        <v>201.8626184870829</v>
      </c>
    </row>
    <row r="7" spans="1:15" x14ac:dyDescent="0.25">
      <c r="A7" t="s">
        <v>25</v>
      </c>
      <c r="B7">
        <v>54</v>
      </c>
      <c r="C7">
        <v>633</v>
      </c>
      <c r="D7">
        <v>640</v>
      </c>
      <c r="E7">
        <v>1273</v>
      </c>
      <c r="F7">
        <v>1702.7140600315961</v>
      </c>
      <c r="G7">
        <v>1688.5125</v>
      </c>
      <c r="H7">
        <v>14.201560031595591</v>
      </c>
      <c r="I7">
        <v>2565.132439533973</v>
      </c>
      <c r="J7">
        <v>2628.01249032338</v>
      </c>
      <c r="K7">
        <v>-9.7555656950156625E-2</v>
      </c>
      <c r="L7">
        <v>0.92230051833342097</v>
      </c>
      <c r="M7" t="s">
        <v>24</v>
      </c>
      <c r="N7">
        <v>2.8090383512070261E-2</v>
      </c>
      <c r="O7" s="11">
        <f>(2*POWER(J7,2)*7.85)/POWER(Итог!$B$3,2)</f>
        <v>169.42384295928497</v>
      </c>
    </row>
    <row r="8" spans="1:15" x14ac:dyDescent="0.25">
      <c r="A8" t="s">
        <v>25</v>
      </c>
      <c r="B8">
        <v>55</v>
      </c>
      <c r="C8">
        <v>422</v>
      </c>
      <c r="D8">
        <v>425</v>
      </c>
      <c r="E8">
        <v>847</v>
      </c>
      <c r="F8">
        <v>2109.1066350710898</v>
      </c>
      <c r="G8">
        <v>2111.2729411764708</v>
      </c>
      <c r="H8">
        <v>-2.1663061053809538</v>
      </c>
      <c r="I8">
        <v>2790.9933852461841</v>
      </c>
      <c r="J8">
        <v>2804.2231882427632</v>
      </c>
      <c r="K8">
        <v>1.126774587434534E-2</v>
      </c>
      <c r="L8">
        <v>0.99101248941204068</v>
      </c>
      <c r="M8" t="s">
        <v>24</v>
      </c>
      <c r="N8">
        <v>1.8690145196169291E-2</v>
      </c>
      <c r="O8" s="11">
        <f>(2*POWER(J8,2)*7.85)/POWER(Итог!$B$3,2)</f>
        <v>192.90559800751717</v>
      </c>
    </row>
    <row r="9" spans="1:15" x14ac:dyDescent="0.25">
      <c r="A9" t="s">
        <v>14</v>
      </c>
      <c r="B9">
        <v>699</v>
      </c>
      <c r="C9">
        <v>482</v>
      </c>
      <c r="D9">
        <v>494</v>
      </c>
      <c r="E9">
        <v>976</v>
      </c>
      <c r="F9">
        <v>2422.286307053942</v>
      </c>
      <c r="G9">
        <v>2574.3522267206481</v>
      </c>
      <c r="H9">
        <v>-152.0659196667057</v>
      </c>
      <c r="I9">
        <v>3906.8178974938301</v>
      </c>
      <c r="J9">
        <v>4082.8513558716591</v>
      </c>
      <c r="K9">
        <v>0.59425382588472897</v>
      </c>
      <c r="L9">
        <v>0.55248035588145283</v>
      </c>
      <c r="M9" t="s">
        <v>24</v>
      </c>
      <c r="N9">
        <v>2.1536696235491419E-2</v>
      </c>
      <c r="O9" s="11">
        <f>(2*POWER(J9,2)*7.85)/POWER(Итог!$B$3,2)</f>
        <v>408.92796960632154</v>
      </c>
    </row>
    <row r="10" spans="1:15" x14ac:dyDescent="0.25">
      <c r="A10" t="s">
        <v>14</v>
      </c>
      <c r="B10">
        <v>477</v>
      </c>
      <c r="C10">
        <v>382</v>
      </c>
      <c r="D10">
        <v>386</v>
      </c>
      <c r="E10">
        <v>768</v>
      </c>
      <c r="F10">
        <v>2259.623036649215</v>
      </c>
      <c r="G10">
        <v>2496.987046632124</v>
      </c>
      <c r="H10">
        <v>-237.36400998290989</v>
      </c>
      <c r="I10">
        <v>3482.8460937348032</v>
      </c>
      <c r="J10">
        <v>3881.9947185225428</v>
      </c>
      <c r="K10">
        <v>0.89159336291986235</v>
      </c>
      <c r="L10">
        <v>0.37289090359186572</v>
      </c>
      <c r="M10" t="s">
        <v>24</v>
      </c>
      <c r="N10">
        <v>1.694690851317357E-2</v>
      </c>
      <c r="O10" s="11">
        <f>(2*POWER(J10,2)*7.85)/POWER(Итог!$B$3,2)</f>
        <v>369.68306721218681</v>
      </c>
    </row>
    <row r="11" spans="1:15" x14ac:dyDescent="0.25">
      <c r="A11" t="s">
        <v>14</v>
      </c>
      <c r="B11">
        <v>544</v>
      </c>
      <c r="C11">
        <v>377</v>
      </c>
      <c r="D11">
        <v>416</v>
      </c>
      <c r="E11">
        <v>793</v>
      </c>
      <c r="F11">
        <v>2621.4270557029181</v>
      </c>
      <c r="G11">
        <v>2635.5480769230771</v>
      </c>
      <c r="H11">
        <v>-14.12102122015949</v>
      </c>
      <c r="I11">
        <v>3714.8947510376788</v>
      </c>
      <c r="J11">
        <v>4639.8207461839838</v>
      </c>
      <c r="K11">
        <v>4.6997059757738199E-2</v>
      </c>
      <c r="L11">
        <v>0.96252743362660054</v>
      </c>
      <c r="M11" t="s">
        <v>24</v>
      </c>
      <c r="N11">
        <v>1.749856569133678E-2</v>
      </c>
      <c r="O11" s="11">
        <f>(2*POWER(J11,2)*7.85)/POWER(Итог!$B$3,2)</f>
        <v>528.10719365702028</v>
      </c>
    </row>
    <row r="12" spans="1:15" x14ac:dyDescent="0.25">
      <c r="A12" t="s">
        <v>14</v>
      </c>
      <c r="B12">
        <v>516</v>
      </c>
      <c r="C12">
        <v>634</v>
      </c>
      <c r="D12">
        <v>636</v>
      </c>
      <c r="E12">
        <v>1270</v>
      </c>
      <c r="F12">
        <v>3245.2003154574131</v>
      </c>
      <c r="G12">
        <v>2880.48427672956</v>
      </c>
      <c r="H12">
        <v>364.71603872785317</v>
      </c>
      <c r="I12">
        <v>4543.1692617437084</v>
      </c>
      <c r="J12">
        <v>3819.2928134705862</v>
      </c>
      <c r="K12">
        <v>-1.5486734367114749</v>
      </c>
      <c r="L12">
        <v>0.12170977776688099</v>
      </c>
      <c r="M12" t="s">
        <v>24</v>
      </c>
      <c r="N12">
        <v>2.8024184650690679E-2</v>
      </c>
      <c r="O12" s="11">
        <f>(2*POWER(J12,2)*7.85)/POWER(Итог!$B$3,2)</f>
        <v>357.83728475303224</v>
      </c>
    </row>
    <row r="13" spans="1:15" x14ac:dyDescent="0.25">
      <c r="A13" t="s">
        <v>14</v>
      </c>
      <c r="B13">
        <v>439</v>
      </c>
      <c r="C13">
        <v>355</v>
      </c>
      <c r="D13">
        <v>351</v>
      </c>
      <c r="E13">
        <v>706</v>
      </c>
      <c r="F13">
        <v>2481.9605633802821</v>
      </c>
      <c r="G13">
        <v>2400.635327635327</v>
      </c>
      <c r="H13">
        <v>81.325235744954171</v>
      </c>
      <c r="I13">
        <v>4040.4410068102538</v>
      </c>
      <c r="J13">
        <v>3722.1170724360341</v>
      </c>
      <c r="K13">
        <v>-0.27806735037805058</v>
      </c>
      <c r="L13">
        <v>0.78104230354142801</v>
      </c>
      <c r="M13" t="s">
        <v>24</v>
      </c>
      <c r="N13">
        <v>1.5578798711328831E-2</v>
      </c>
      <c r="O13" s="11">
        <f>(2*POWER(J13,2)*7.85)/POWER(Итог!$B$3,2)</f>
        <v>339.85975213193865</v>
      </c>
    </row>
    <row r="14" spans="1:15" x14ac:dyDescent="0.25">
      <c r="A14" t="s">
        <v>16</v>
      </c>
      <c r="B14">
        <v>112</v>
      </c>
      <c r="C14">
        <v>652</v>
      </c>
      <c r="D14">
        <v>683</v>
      </c>
      <c r="E14">
        <v>1335</v>
      </c>
      <c r="F14">
        <v>2488.1150306748468</v>
      </c>
      <c r="G14">
        <v>2218.6368960468521</v>
      </c>
      <c r="H14">
        <v>269.47813462799468</v>
      </c>
      <c r="I14">
        <v>2778.1791825699402</v>
      </c>
      <c r="J14">
        <v>2780.7906600356741</v>
      </c>
      <c r="K14">
        <v>-1.770712015951776</v>
      </c>
      <c r="L14">
        <v>7.6837103037525542E-2</v>
      </c>
      <c r="M14" t="s">
        <v>24</v>
      </c>
      <c r="N14">
        <v>2.9458493313915E-2</v>
      </c>
      <c r="O14" s="11">
        <f>(2*POWER(J14,2)*7.85)/POWER(Итог!$B$3,2)</f>
        <v>189.69516892278708</v>
      </c>
    </row>
    <row r="15" spans="1:15" x14ac:dyDescent="0.25">
      <c r="A15" t="s">
        <v>16</v>
      </c>
      <c r="B15">
        <v>394</v>
      </c>
      <c r="C15">
        <v>104</v>
      </c>
      <c r="D15">
        <v>85</v>
      </c>
      <c r="E15">
        <v>189</v>
      </c>
      <c r="F15">
        <v>1229.6442307692309</v>
      </c>
      <c r="G15">
        <v>973.62352941176471</v>
      </c>
      <c r="H15">
        <v>256.02070135746601</v>
      </c>
      <c r="I15">
        <v>2208.2278398271669</v>
      </c>
      <c r="J15">
        <v>1940.8548250244589</v>
      </c>
      <c r="K15">
        <v>-0.83682539191105032</v>
      </c>
      <c r="L15">
        <v>0.40375884675107382</v>
      </c>
      <c r="M15" t="s">
        <v>24</v>
      </c>
      <c r="N15">
        <v>4.1705282669138094E-3</v>
      </c>
      <c r="O15" s="11">
        <f>(2*POWER(J15,2)*7.85)/POWER(Итог!$B$3,2)</f>
        <v>92.407193739977117</v>
      </c>
    </row>
    <row r="16" spans="1:15" x14ac:dyDescent="0.25">
      <c r="A16" t="s">
        <v>16</v>
      </c>
      <c r="B16">
        <v>576</v>
      </c>
      <c r="C16">
        <v>630</v>
      </c>
      <c r="D16">
        <v>657</v>
      </c>
      <c r="E16">
        <v>1287</v>
      </c>
      <c r="F16">
        <v>1594.436507936508</v>
      </c>
      <c r="G16">
        <v>1342.1293759512939</v>
      </c>
      <c r="H16">
        <v>252.30713198521431</v>
      </c>
      <c r="I16">
        <v>2683.7272105777388</v>
      </c>
      <c r="J16">
        <v>2415.8226638760748</v>
      </c>
      <c r="K16">
        <v>-1.7740729896541769</v>
      </c>
      <c r="L16">
        <v>7.6287833758135845E-2</v>
      </c>
      <c r="M16" t="s">
        <v>24</v>
      </c>
      <c r="N16">
        <v>2.8399311531841651E-2</v>
      </c>
      <c r="O16" s="11">
        <f>(2*POWER(J16,2)*7.85)/POWER(Итог!$B$3,2)</f>
        <v>143.16926023401174</v>
      </c>
    </row>
    <row r="17" spans="1:15" x14ac:dyDescent="0.25">
      <c r="A17" t="s">
        <v>16</v>
      </c>
      <c r="B17">
        <v>309</v>
      </c>
      <c r="C17">
        <v>240</v>
      </c>
      <c r="D17">
        <v>238</v>
      </c>
      <c r="E17">
        <v>478</v>
      </c>
      <c r="F17">
        <v>2706.2791666666672</v>
      </c>
      <c r="G17">
        <v>2392.8949579831929</v>
      </c>
      <c r="H17">
        <v>313.38420868347339</v>
      </c>
      <c r="I17">
        <v>2814.9398488604011</v>
      </c>
      <c r="J17">
        <v>2761.9387158176169</v>
      </c>
      <c r="K17">
        <v>-1.228454613597767</v>
      </c>
      <c r="L17">
        <v>0.21988338416718509</v>
      </c>
      <c r="M17" t="s">
        <v>24</v>
      </c>
      <c r="N17">
        <v>1.0547685246480429E-2</v>
      </c>
      <c r="O17" s="11">
        <f>(2*POWER(J17,2)*7.85)/POWER(Итог!$B$3,2)</f>
        <v>187.13186855927589</v>
      </c>
    </row>
    <row r="18" spans="1:15" x14ac:dyDescent="0.25">
      <c r="A18" t="s">
        <v>17</v>
      </c>
      <c r="B18">
        <v>6543</v>
      </c>
      <c r="C18">
        <v>662</v>
      </c>
      <c r="D18">
        <v>689</v>
      </c>
      <c r="E18">
        <v>1351</v>
      </c>
      <c r="F18">
        <v>1715.486404833837</v>
      </c>
      <c r="G18">
        <v>1528.3251088534109</v>
      </c>
      <c r="H18">
        <v>187.1612959804261</v>
      </c>
      <c r="I18">
        <v>2457.368732057007</v>
      </c>
      <c r="J18">
        <v>2338.5220633259491</v>
      </c>
      <c r="K18">
        <v>-1.434398279645726</v>
      </c>
      <c r="L18">
        <v>0.15169040462954611</v>
      </c>
      <c r="M18" t="s">
        <v>24</v>
      </c>
      <c r="N18">
        <v>2.981155390793945E-2</v>
      </c>
      <c r="O18" s="11">
        <f>(2*POWER(J18,2)*7.85)/POWER(Итог!$B$3,2)</f>
        <v>134.15368971624594</v>
      </c>
    </row>
    <row r="19" spans="1:15" x14ac:dyDescent="0.25">
      <c r="A19" t="s">
        <v>17</v>
      </c>
      <c r="B19">
        <v>3987</v>
      </c>
      <c r="C19">
        <v>801</v>
      </c>
      <c r="D19">
        <v>785</v>
      </c>
      <c r="E19">
        <v>1586</v>
      </c>
      <c r="F19">
        <v>1602.995006242197</v>
      </c>
      <c r="G19">
        <v>1639.857324840764</v>
      </c>
      <c r="H19">
        <v>-36.862318598567072</v>
      </c>
      <c r="I19">
        <v>2518.8292052012962</v>
      </c>
      <c r="J19">
        <v>2686.3174166097829</v>
      </c>
      <c r="K19">
        <v>0.28196520087867383</v>
      </c>
      <c r="L19">
        <v>0.77800702736032634</v>
      </c>
      <c r="M19" t="s">
        <v>24</v>
      </c>
      <c r="N19">
        <v>3.4997131382673553E-2</v>
      </c>
      <c r="O19" s="11">
        <f>(2*POWER(J19,2)*7.85)/POWER(Итог!$B$3,2)</f>
        <v>177.02489035259782</v>
      </c>
    </row>
    <row r="20" spans="1:15" x14ac:dyDescent="0.25">
      <c r="A20" t="s">
        <v>17</v>
      </c>
      <c r="B20">
        <v>8543</v>
      </c>
      <c r="C20">
        <v>148</v>
      </c>
      <c r="D20">
        <v>140</v>
      </c>
      <c r="E20">
        <v>288</v>
      </c>
      <c r="F20">
        <v>1859.7770270270271</v>
      </c>
      <c r="G20">
        <v>1804.25</v>
      </c>
      <c r="H20">
        <v>55.527027027027088</v>
      </c>
      <c r="I20">
        <v>2568.9804293811749</v>
      </c>
      <c r="J20">
        <v>3015.7266304677269</v>
      </c>
      <c r="K20">
        <v>-0.16850596566670989</v>
      </c>
      <c r="L20">
        <v>0.86630435550570684</v>
      </c>
      <c r="M20" t="s">
        <v>24</v>
      </c>
      <c r="N20">
        <v>6.3550906924400904E-3</v>
      </c>
      <c r="O20" s="11">
        <f>(2*POWER(J20,2)*7.85)/POWER(Итог!$B$3,2)</f>
        <v>223.10208066012814</v>
      </c>
    </row>
    <row r="21" spans="1:15" x14ac:dyDescent="0.25">
      <c r="A21" t="s">
        <v>17</v>
      </c>
      <c r="B21">
        <v>2212</v>
      </c>
      <c r="C21">
        <v>422</v>
      </c>
      <c r="D21">
        <v>397</v>
      </c>
      <c r="E21">
        <v>819</v>
      </c>
      <c r="F21">
        <v>2827.2369668246452</v>
      </c>
      <c r="G21">
        <v>2739.3627204030231</v>
      </c>
      <c r="H21">
        <v>87.874246421622047</v>
      </c>
      <c r="I21">
        <v>3197.5429641908459</v>
      </c>
      <c r="J21">
        <v>2446.9750361819461</v>
      </c>
      <c r="K21">
        <v>-0.43968207853877772</v>
      </c>
      <c r="L21">
        <v>0.66028366208891054</v>
      </c>
      <c r="M21" t="s">
        <v>24</v>
      </c>
      <c r="N21">
        <v>1.8072289156626509E-2</v>
      </c>
      <c r="O21" s="11">
        <f>(2*POWER(J21,2)*7.85)/POWER(Итог!$B$3,2)</f>
        <v>146.88544249195763</v>
      </c>
    </row>
    <row r="22" spans="1:15" x14ac:dyDescent="0.25">
      <c r="A22" t="s">
        <v>17</v>
      </c>
      <c r="B22">
        <v>9121</v>
      </c>
      <c r="C22">
        <v>131</v>
      </c>
      <c r="D22">
        <v>108</v>
      </c>
      <c r="E22">
        <v>239</v>
      </c>
      <c r="F22">
        <v>1976.854961832061</v>
      </c>
      <c r="G22">
        <v>1856.9444444444439</v>
      </c>
      <c r="H22">
        <v>119.91051738761669</v>
      </c>
      <c r="I22">
        <v>2605.7974274007302</v>
      </c>
      <c r="J22">
        <v>2442.3261657052421</v>
      </c>
      <c r="K22">
        <v>-0.36418256697602858</v>
      </c>
      <c r="L22">
        <v>0.71604638423203104</v>
      </c>
      <c r="M22" t="s">
        <v>24</v>
      </c>
      <c r="N22">
        <v>5.2738426232402137E-3</v>
      </c>
      <c r="O22" s="11">
        <f>(2*POWER(J22,2)*7.85)/POWER(Итог!$B$3,2)</f>
        <v>146.32785385173278</v>
      </c>
    </row>
    <row r="23" spans="1:15" x14ac:dyDescent="0.25">
      <c r="A23" t="s">
        <v>17</v>
      </c>
      <c r="B23">
        <v>3786</v>
      </c>
      <c r="C23">
        <v>237</v>
      </c>
      <c r="D23">
        <v>278</v>
      </c>
      <c r="E23">
        <v>515</v>
      </c>
      <c r="F23">
        <v>2636.658227848101</v>
      </c>
      <c r="G23">
        <v>2688.2302158273378</v>
      </c>
      <c r="H23">
        <v>-51.571987979236837</v>
      </c>
      <c r="I23">
        <v>2713.063676741257</v>
      </c>
      <c r="J23">
        <v>3292.9376410463851</v>
      </c>
      <c r="K23">
        <v>0.1918852001092001</v>
      </c>
      <c r="L23">
        <v>0.84790805885187892</v>
      </c>
      <c r="M23" t="s">
        <v>24</v>
      </c>
      <c r="N23">
        <v>1.136413787016197E-2</v>
      </c>
      <c r="O23" s="11">
        <f>(2*POWER(J23,2)*7.85)/POWER(Итог!$B$3,2)</f>
        <v>266.00309598871257</v>
      </c>
    </row>
    <row r="24" spans="1:15" x14ac:dyDescent="0.25">
      <c r="A24" t="s">
        <v>26</v>
      </c>
      <c r="B24">
        <v>80</v>
      </c>
      <c r="C24">
        <v>844</v>
      </c>
      <c r="D24">
        <v>880</v>
      </c>
      <c r="E24">
        <v>1724</v>
      </c>
      <c r="F24">
        <v>2517.3305687203788</v>
      </c>
      <c r="G24">
        <v>2511.9727272727268</v>
      </c>
      <c r="H24">
        <v>5.3578414476519356</v>
      </c>
      <c r="I24">
        <v>2797.1230332385999</v>
      </c>
      <c r="J24">
        <v>2824.719932223567</v>
      </c>
      <c r="K24">
        <v>-3.9558086467205961E-2</v>
      </c>
      <c r="L24">
        <v>0.96845002895143795</v>
      </c>
      <c r="M24" t="s">
        <v>24</v>
      </c>
      <c r="N24">
        <v>3.8042279006134418E-2</v>
      </c>
      <c r="O24" s="11">
        <f>(2*POWER(J24,2)*7.85)/POWER(Итог!$B$3,2)</f>
        <v>195.73589112401166</v>
      </c>
    </row>
    <row r="25" spans="1:15" x14ac:dyDescent="0.25">
      <c r="A25" t="s">
        <v>26</v>
      </c>
      <c r="B25">
        <v>82</v>
      </c>
      <c r="C25">
        <v>169</v>
      </c>
      <c r="D25">
        <v>229</v>
      </c>
      <c r="E25">
        <v>398</v>
      </c>
      <c r="F25">
        <v>2586.0118343195272</v>
      </c>
      <c r="G25">
        <v>2655.6724890829701</v>
      </c>
      <c r="H25">
        <v>-69.660654763442835</v>
      </c>
      <c r="I25">
        <v>2676.4355627004538</v>
      </c>
      <c r="J25">
        <v>2929.3636863964912</v>
      </c>
      <c r="K25">
        <v>0.2431728557168128</v>
      </c>
      <c r="L25">
        <v>0.80799740556960586</v>
      </c>
      <c r="M25" t="s">
        <v>24</v>
      </c>
      <c r="N25">
        <v>8.7823822763581794E-3</v>
      </c>
      <c r="O25" s="11">
        <f>(2*POWER(J25,2)*7.85)/POWER(Итог!$B$3,2)</f>
        <v>210.5068659885961</v>
      </c>
    </row>
    <row r="26" spans="1:15" x14ac:dyDescent="0.25">
      <c r="A26" t="s">
        <v>27</v>
      </c>
      <c r="B26">
        <v>88</v>
      </c>
      <c r="C26">
        <v>190</v>
      </c>
      <c r="D26">
        <v>167</v>
      </c>
      <c r="E26">
        <v>357</v>
      </c>
      <c r="F26">
        <v>2902.410526315789</v>
      </c>
      <c r="G26">
        <v>2439.4610778443121</v>
      </c>
      <c r="H26">
        <v>462.94944847147781</v>
      </c>
      <c r="I26">
        <v>3074.648886892026</v>
      </c>
      <c r="J26">
        <v>2689.3430530913829</v>
      </c>
      <c r="K26">
        <v>-1.5045563456740749</v>
      </c>
      <c r="L26">
        <v>0.1333273246710206</v>
      </c>
      <c r="M26" t="s">
        <v>24</v>
      </c>
      <c r="N26">
        <v>7.8776645041705277E-3</v>
      </c>
      <c r="O26" s="11">
        <f>(2*POWER(J26,2)*7.85)/POWER(Итог!$B$3,2)</f>
        <v>177.4238860909544</v>
      </c>
    </row>
    <row r="27" spans="1:15" x14ac:dyDescent="0.25">
      <c r="A27" t="s">
        <v>28</v>
      </c>
      <c r="B27">
        <v>19</v>
      </c>
      <c r="C27">
        <v>130</v>
      </c>
      <c r="D27">
        <v>146</v>
      </c>
      <c r="E27">
        <v>276</v>
      </c>
      <c r="F27">
        <v>2043.823076923077</v>
      </c>
      <c r="G27">
        <v>1743.3767123287671</v>
      </c>
      <c r="H27">
        <v>300.4463645943099</v>
      </c>
      <c r="I27">
        <v>2442.2667875313782</v>
      </c>
      <c r="J27">
        <v>2891.3333593759398</v>
      </c>
      <c r="K27">
        <v>-0.92645906346779439</v>
      </c>
      <c r="L27">
        <v>0.35502276486047568</v>
      </c>
      <c r="M27" t="s">
        <v>24</v>
      </c>
      <c r="N27">
        <v>6.0902952469217529E-3</v>
      </c>
      <c r="O27" s="11">
        <f>(2*POWER(J27,2)*7.85)/POWER(Итог!$B$3,2)</f>
        <v>205.07655459707885</v>
      </c>
    </row>
    <row r="28" spans="1:15" x14ac:dyDescent="0.25">
      <c r="A28" t="s">
        <v>29</v>
      </c>
      <c r="B28">
        <v>72</v>
      </c>
      <c r="C28">
        <v>609</v>
      </c>
      <c r="D28">
        <v>639</v>
      </c>
      <c r="E28">
        <v>1248</v>
      </c>
      <c r="F28">
        <v>2371.4334975369461</v>
      </c>
      <c r="G28">
        <v>2523.3755868544599</v>
      </c>
      <c r="H28">
        <v>-151.9420893175143</v>
      </c>
      <c r="I28">
        <v>2906.8244575313529</v>
      </c>
      <c r="J28">
        <v>2795.9171755336051</v>
      </c>
      <c r="K28">
        <v>0.94123363535756777</v>
      </c>
      <c r="L28">
        <v>0.3467675852041211</v>
      </c>
      <c r="M28" t="s">
        <v>24</v>
      </c>
      <c r="N28">
        <v>2.7538726333907061E-2</v>
      </c>
      <c r="O28" s="11">
        <f>(2*POWER(J28,2)*7.85)/POWER(Итог!$B$3,2)</f>
        <v>191.76453091151225</v>
      </c>
    </row>
    <row r="29" spans="1:15" x14ac:dyDescent="0.25">
      <c r="A29" t="s">
        <v>29</v>
      </c>
      <c r="B29">
        <v>73</v>
      </c>
      <c r="C29">
        <v>187</v>
      </c>
      <c r="D29">
        <v>167</v>
      </c>
      <c r="E29">
        <v>354</v>
      </c>
      <c r="F29">
        <v>2092.181818181818</v>
      </c>
      <c r="G29">
        <v>2521.958083832335</v>
      </c>
      <c r="H29">
        <v>-429.77626565051742</v>
      </c>
      <c r="I29">
        <v>2530.2746480809951</v>
      </c>
      <c r="J29">
        <v>2875.45963293559</v>
      </c>
      <c r="K29">
        <v>1.4958446791905911</v>
      </c>
      <c r="L29">
        <v>0.13559014690618429</v>
      </c>
      <c r="M29" t="s">
        <v>24</v>
      </c>
      <c r="N29">
        <v>7.8114656427909438E-3</v>
      </c>
      <c r="O29" s="11">
        <f>(2*POWER(J29,2)*7.85)/POWER(Итог!$B$3,2)</f>
        <v>202.83095184387594</v>
      </c>
    </row>
    <row r="30" spans="1:15" x14ac:dyDescent="0.25">
      <c r="A30" t="s">
        <v>22</v>
      </c>
      <c r="B30">
        <v>1989</v>
      </c>
      <c r="C30">
        <v>239</v>
      </c>
      <c r="D30">
        <v>270</v>
      </c>
      <c r="E30">
        <v>509</v>
      </c>
      <c r="F30">
        <v>4407.3849372384939</v>
      </c>
      <c r="G30">
        <v>4163.9592592592589</v>
      </c>
      <c r="H30">
        <v>243.42567797923491</v>
      </c>
      <c r="I30">
        <v>2737.9007251199769</v>
      </c>
      <c r="J30">
        <v>2492.0962933115161</v>
      </c>
      <c r="K30">
        <v>-1.0499935308392909</v>
      </c>
      <c r="L30">
        <v>0.29422131648059052</v>
      </c>
      <c r="M30" t="s">
        <v>24</v>
      </c>
      <c r="N30">
        <v>1.1231740147402801E-2</v>
      </c>
      <c r="O30" s="11">
        <f>(2*POWER(J30,2)*7.85)/POWER(Итог!$B$3,2)</f>
        <v>152.3524059088295</v>
      </c>
    </row>
    <row r="31" spans="1:15" x14ac:dyDescent="0.25">
      <c r="A31" t="s">
        <v>30</v>
      </c>
      <c r="B31">
        <v>69</v>
      </c>
      <c r="C31">
        <v>75</v>
      </c>
      <c r="D31">
        <v>78</v>
      </c>
      <c r="E31">
        <v>153</v>
      </c>
      <c r="F31">
        <v>1171.4533333333329</v>
      </c>
      <c r="G31">
        <v>600.15384615384619</v>
      </c>
      <c r="H31">
        <v>571.29948717948719</v>
      </c>
      <c r="I31">
        <v>2578.1041027632468</v>
      </c>
      <c r="J31">
        <v>1690.1397550523429</v>
      </c>
      <c r="K31">
        <v>-1.6270604929283119</v>
      </c>
      <c r="L31">
        <v>0.105809212549273</v>
      </c>
      <c r="M31" t="s">
        <v>24</v>
      </c>
      <c r="N31">
        <v>3.3761419303587979E-3</v>
      </c>
      <c r="O31" s="11">
        <f>(2*POWER(J31,2)*7.85)/POWER(Итог!$B$3,2)</f>
        <v>70.075291481643404</v>
      </c>
    </row>
    <row r="32" spans="1:15" x14ac:dyDescent="0.25">
      <c r="A32" t="s">
        <v>31</v>
      </c>
      <c r="B32">
        <v>2</v>
      </c>
      <c r="C32">
        <v>78</v>
      </c>
      <c r="D32">
        <v>71</v>
      </c>
      <c r="E32">
        <v>149</v>
      </c>
      <c r="F32">
        <v>579.33333333333337</v>
      </c>
      <c r="G32">
        <v>483.45070422535213</v>
      </c>
      <c r="H32">
        <v>95.882629107981245</v>
      </c>
      <c r="I32">
        <v>1860.7624304329711</v>
      </c>
      <c r="J32">
        <v>1654.923181546782</v>
      </c>
      <c r="K32">
        <v>-0.33105243476452068</v>
      </c>
      <c r="L32">
        <v>0.7410763125801646</v>
      </c>
      <c r="M32" t="s">
        <v>24</v>
      </c>
      <c r="N32">
        <v>3.2878767818526849E-3</v>
      </c>
      <c r="O32" s="11">
        <f>(2*POWER(J32,2)*7.85)/POWER(Итог!$B$3,2)</f>
        <v>67.185469637638278</v>
      </c>
    </row>
    <row r="35" spans="14:14" x14ac:dyDescent="0.25">
      <c r="N35" s="12">
        <f>SUM(N2:N32)</f>
        <v>0.56986186504258807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Итог</vt:lpstr>
      <vt:lpstr>Positive</vt:lpstr>
      <vt:lpstr>Negative</vt:lpstr>
      <vt:lpstr>No_DIFF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Снежана Савицкая</cp:lastModifiedBy>
  <dcterms:created xsi:type="dcterms:W3CDTF">2026-02-18T05:13:20Z</dcterms:created>
  <dcterms:modified xsi:type="dcterms:W3CDTF">2026-03-05T11:47:11Z</dcterms:modified>
</cp:coreProperties>
</file>